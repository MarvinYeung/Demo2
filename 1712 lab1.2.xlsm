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rvi\Downloads\School\"/>
    </mc:Choice>
  </mc:AlternateContent>
  <xr:revisionPtr revIDLastSave="0" documentId="13_ncr:1_{E38CADC3-0F8A-4EE4-A296-EA3AB94DBD66}" xr6:coauthVersionLast="47" xr6:coauthVersionMax="47" xr10:uidLastSave="{00000000-0000-0000-0000-000000000000}"/>
  <bookViews>
    <workbookView xWindow="14295" yWindow="0" windowWidth="14610" windowHeight="15585" activeTab="1" xr2:uid="{8C29274F-C64E-41F8-8984-7800D3FA31F6}"/>
  </bookViews>
  <sheets>
    <sheet name="Macro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" l="1"/>
  <c r="G30" i="1" s="1"/>
  <c r="E30" i="1"/>
  <c r="F30" i="1"/>
  <c r="C30" i="1"/>
  <c r="D6" i="1"/>
  <c r="E6" i="1"/>
  <c r="F6" i="1"/>
  <c r="C6" i="1"/>
  <c r="G6" i="1" s="1"/>
  <c r="B33" i="1"/>
  <c r="G4" i="1"/>
  <c r="G5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1" i="1"/>
  <c r="C31" i="1"/>
  <c r="D28" i="1"/>
  <c r="E28" i="1"/>
  <c r="F28" i="1"/>
  <c r="C28" i="1"/>
  <c r="D27" i="1"/>
  <c r="E27" i="1"/>
  <c r="F27" i="1"/>
  <c r="C27" i="1"/>
  <c r="F29" i="1"/>
  <c r="D22" i="1"/>
  <c r="D29" i="1" s="1"/>
  <c r="D31" i="1" s="1"/>
  <c r="E22" i="1"/>
  <c r="E29" i="1" s="1"/>
  <c r="F22" i="1"/>
  <c r="D23" i="1"/>
  <c r="E23" i="1"/>
  <c r="F23" i="1"/>
  <c r="D24" i="1"/>
  <c r="E24" i="1"/>
  <c r="F24" i="1"/>
  <c r="D25" i="1"/>
  <c r="E25" i="1"/>
  <c r="F25" i="1"/>
  <c r="B8" i="1"/>
  <c r="C20" i="1"/>
  <c r="D20" i="1"/>
  <c r="E20" i="1"/>
  <c r="F20" i="1"/>
  <c r="C25" i="1"/>
  <c r="C24" i="1"/>
  <c r="C23" i="1"/>
  <c r="C22" i="1"/>
  <c r="C29" i="1" s="1"/>
  <c r="B19" i="1"/>
  <c r="B18" i="1"/>
  <c r="B17" i="1"/>
  <c r="B16" i="1"/>
  <c r="B15" i="1"/>
  <c r="B14" i="1"/>
  <c r="B13" i="1"/>
  <c r="B12" i="1"/>
  <c r="B11" i="1"/>
  <c r="B10" i="1"/>
  <c r="B9" i="1"/>
  <c r="D3" i="1"/>
  <c r="E3" i="1" s="1"/>
  <c r="D5" i="1"/>
  <c r="C5" i="1"/>
  <c r="B20" i="1" l="1"/>
  <c r="E5" i="1"/>
  <c r="F3" i="1"/>
  <c r="F5" i="1" l="1"/>
  <c r="F31" i="1" s="1"/>
  <c r="G3" i="1"/>
  <c r="B29" i="1"/>
  <c r="E31" i="1"/>
  <c r="B31" i="1" l="1"/>
  <c r="B32" i="1" l="1"/>
  <c r="C32" i="1" s="1"/>
  <c r="D32" i="1" s="1"/>
  <c r="E32" i="1" s="1"/>
  <c r="F32" i="1" s="1"/>
</calcChain>
</file>

<file path=xl/sharedStrings.xml><?xml version="1.0" encoding="utf-8"?>
<sst xmlns="http://schemas.openxmlformats.org/spreadsheetml/2006/main" count="36" uniqueCount="34">
  <si>
    <t>Benefits</t>
  </si>
  <si>
    <t>Increased sales</t>
  </si>
  <si>
    <t>Reduced inventory cost</t>
  </si>
  <si>
    <t>Total benefits</t>
  </si>
  <si>
    <t>2 Systems analysts</t>
  </si>
  <si>
    <t>4 programmer analysts</t>
  </si>
  <si>
    <t>1 GUI designer</t>
  </si>
  <si>
    <t>1 telecommunications specialist</t>
  </si>
  <si>
    <t>1 system architect</t>
  </si>
  <si>
    <t>1 database specialist</t>
  </si>
  <si>
    <t>1 system librarian</t>
  </si>
  <si>
    <t>4 oracle training registration</t>
  </si>
  <si>
    <t>1 development server</t>
  </si>
  <si>
    <t>1 server software</t>
  </si>
  <si>
    <t>1 DBMS server software</t>
  </si>
  <si>
    <t>7 DBMS client software</t>
  </si>
  <si>
    <t>Operating costs</t>
  </si>
  <si>
    <t>Development costs</t>
  </si>
  <si>
    <t>2 programmer analysts</t>
  </si>
  <si>
    <t>1 maintenance agreement for server</t>
  </si>
  <si>
    <t>DBMS software</t>
  </si>
  <si>
    <t>Total</t>
  </si>
  <si>
    <t>Total development costs</t>
  </si>
  <si>
    <t>Total operating costs</t>
  </si>
  <si>
    <t>Total costs</t>
  </si>
  <si>
    <t>Total benefits - Total  costs</t>
  </si>
  <si>
    <t>Return on investment (ROI)%</t>
  </si>
  <si>
    <t>Cumulative net cash flow</t>
  </si>
  <si>
    <t>Break-even point</t>
  </si>
  <si>
    <t>Present value total benefits</t>
  </si>
  <si>
    <t>Present value total costs</t>
  </si>
  <si>
    <t>Preprinted forms</t>
  </si>
  <si>
    <t>Year</t>
  </si>
  <si>
    <t>3.99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</si>
</sst>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0" fillId="0" borderId="0" xfId="0" applyFont="1"/>
    <xf numFmtId="44" fontId="0" fillId="0" borderId="0" xfId="2" applyFont="1"/>
    <xf numFmtId="10" fontId="0" fillId="0" borderId="0" xfId="3" applyNumberFormat="1" applyFont="1" applyBorder="1" applyAlignment="1">
      <alignment horizontal="center"/>
    </xf>
    <xf numFmtId="44" fontId="0" fillId="0" borderId="0" xfId="2" applyNumberFormat="1" applyFont="1"/>
    <xf numFmtId="44" fontId="0" fillId="0" borderId="0" xfId="0" applyNumberFormat="1"/>
    <xf numFmtId="43" fontId="0" fillId="0" borderId="0" xfId="1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811D61E-D513-4381-A462-E622FA5FA34A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5214-9F69-48EE-848D-5BB7EE18FE70}">
  <dimension ref="A1:G34"/>
  <sheetViews>
    <sheetView tabSelected="1" workbookViewId="0">
      <selection activeCell="E35" sqref="E35"/>
    </sheetView>
  </sheetViews>
  <sheetFormatPr defaultRowHeight="15" x14ac:dyDescent="0.25"/>
  <cols>
    <col min="1" max="1" width="32.85546875" customWidth="1"/>
    <col min="2" max="3" width="14.42578125" bestFit="1" customWidth="1"/>
    <col min="4" max="4" width="13.42578125" bestFit="1" customWidth="1"/>
    <col min="5" max="6" width="12.5703125" bestFit="1" customWidth="1"/>
    <col min="7" max="7" width="13.7109375" bestFit="1" customWidth="1"/>
  </cols>
  <sheetData>
    <row r="1" spans="1:7" x14ac:dyDescent="0.25">
      <c r="A1" s="1" t="s">
        <v>32</v>
      </c>
      <c r="C1" s="1">
        <v>1</v>
      </c>
      <c r="D1" s="1">
        <v>2</v>
      </c>
      <c r="E1" s="1">
        <v>3</v>
      </c>
      <c r="F1" s="1">
        <v>4</v>
      </c>
      <c r="G1" s="1" t="s">
        <v>21</v>
      </c>
    </row>
    <row r="2" spans="1:7" x14ac:dyDescent="0.25">
      <c r="A2" s="1" t="s">
        <v>0</v>
      </c>
    </row>
    <row r="3" spans="1:7" ht="17.25" customHeight="1" x14ac:dyDescent="0.25">
      <c r="A3" t="s">
        <v>1</v>
      </c>
      <c r="B3" s="5"/>
      <c r="C3" s="5">
        <v>30000</v>
      </c>
      <c r="D3" s="5">
        <f>C3*1.1</f>
        <v>33000</v>
      </c>
      <c r="E3" s="5">
        <f t="shared" ref="E3:F3" si="0">D3*1.1</f>
        <v>36300</v>
      </c>
      <c r="F3" s="5">
        <f t="shared" si="0"/>
        <v>39930</v>
      </c>
      <c r="G3" s="5">
        <f t="shared" ref="G3:G31" si="1">SUM(B3:F3)</f>
        <v>139230</v>
      </c>
    </row>
    <row r="4" spans="1:7" x14ac:dyDescent="0.25">
      <c r="A4" t="s">
        <v>2</v>
      </c>
      <c r="B4" s="5"/>
      <c r="C4" s="5">
        <v>15000</v>
      </c>
      <c r="D4" s="5">
        <v>15000</v>
      </c>
      <c r="E4" s="5">
        <v>15000</v>
      </c>
      <c r="F4" s="5">
        <v>15000</v>
      </c>
      <c r="G4" s="5">
        <f t="shared" si="1"/>
        <v>60000</v>
      </c>
    </row>
    <row r="5" spans="1:7" x14ac:dyDescent="0.25">
      <c r="A5" s="1" t="s">
        <v>3</v>
      </c>
      <c r="B5" s="5"/>
      <c r="C5" s="5">
        <f>C3+C4</f>
        <v>45000</v>
      </c>
      <c r="D5" s="5">
        <f t="shared" ref="D5:F5" si="2">D3+D4</f>
        <v>48000</v>
      </c>
      <c r="E5" s="5">
        <f t="shared" si="2"/>
        <v>51300</v>
      </c>
      <c r="F5" s="5">
        <f t="shared" si="2"/>
        <v>54930</v>
      </c>
      <c r="G5" s="5">
        <f t="shared" si="1"/>
        <v>199230</v>
      </c>
    </row>
    <row r="6" spans="1:7" x14ac:dyDescent="0.25">
      <c r="A6" s="1" t="s">
        <v>29</v>
      </c>
      <c r="C6" s="6">
        <f>C5*(0.91^C1)</f>
        <v>40950</v>
      </c>
      <c r="D6" s="6">
        <f t="shared" ref="D6:F6" si="3">D5*(0.91^D1)</f>
        <v>39748.800000000003</v>
      </c>
      <c r="E6" s="6">
        <f t="shared" si="3"/>
        <v>38658.192300000002</v>
      </c>
      <c r="F6" s="6">
        <f t="shared" si="3"/>
        <v>37668.226077300009</v>
      </c>
      <c r="G6" s="5">
        <f t="shared" si="1"/>
        <v>157025.21837730001</v>
      </c>
    </row>
    <row r="7" spans="1:7" x14ac:dyDescent="0.25">
      <c r="A7" s="1" t="s">
        <v>17</v>
      </c>
      <c r="B7" s="5"/>
      <c r="C7" s="5"/>
      <c r="D7" s="5"/>
      <c r="E7" s="5"/>
      <c r="F7" s="5"/>
      <c r="G7" s="5">
        <f t="shared" si="1"/>
        <v>0</v>
      </c>
    </row>
    <row r="8" spans="1:7" x14ac:dyDescent="0.25">
      <c r="A8" s="2" t="s">
        <v>4</v>
      </c>
      <c r="B8" s="5">
        <f>400*2*50</f>
        <v>40000</v>
      </c>
      <c r="C8" s="5">
        <v>0</v>
      </c>
      <c r="D8" s="5">
        <v>0</v>
      </c>
      <c r="E8" s="5">
        <v>0</v>
      </c>
      <c r="F8" s="5">
        <v>0</v>
      </c>
      <c r="G8" s="5">
        <f t="shared" si="1"/>
        <v>40000</v>
      </c>
    </row>
    <row r="9" spans="1:7" x14ac:dyDescent="0.25">
      <c r="A9" s="2" t="s">
        <v>5</v>
      </c>
      <c r="B9" s="5">
        <f>250*4*35</f>
        <v>35000</v>
      </c>
      <c r="C9" s="5">
        <v>0</v>
      </c>
      <c r="D9" s="5">
        <v>0</v>
      </c>
      <c r="E9" s="5">
        <v>0</v>
      </c>
      <c r="F9" s="5">
        <v>0</v>
      </c>
      <c r="G9" s="5">
        <f t="shared" si="1"/>
        <v>35000</v>
      </c>
    </row>
    <row r="10" spans="1:7" x14ac:dyDescent="0.25">
      <c r="A10" s="2" t="s">
        <v>6</v>
      </c>
      <c r="B10" s="5">
        <f>200*1*40</f>
        <v>8000</v>
      </c>
      <c r="C10" s="5">
        <v>0</v>
      </c>
      <c r="D10" s="5">
        <v>0</v>
      </c>
      <c r="E10" s="5">
        <v>0</v>
      </c>
      <c r="F10" s="5">
        <v>0</v>
      </c>
      <c r="G10" s="5">
        <f t="shared" si="1"/>
        <v>8000</v>
      </c>
    </row>
    <row r="11" spans="1:7" x14ac:dyDescent="0.25">
      <c r="A11" s="2" t="s">
        <v>7</v>
      </c>
      <c r="B11" s="5">
        <f>50*1*50</f>
        <v>2500</v>
      </c>
      <c r="C11" s="5">
        <v>0</v>
      </c>
      <c r="D11" s="5">
        <v>0</v>
      </c>
      <c r="E11" s="5">
        <v>0</v>
      </c>
      <c r="F11" s="5">
        <v>0</v>
      </c>
      <c r="G11" s="5">
        <f t="shared" si="1"/>
        <v>2500</v>
      </c>
    </row>
    <row r="12" spans="1:7" x14ac:dyDescent="0.25">
      <c r="A12" s="2" t="s">
        <v>8</v>
      </c>
      <c r="B12" s="5">
        <f>100*1*50</f>
        <v>5000</v>
      </c>
      <c r="C12" s="5">
        <v>0</v>
      </c>
      <c r="D12" s="5">
        <v>0</v>
      </c>
      <c r="E12" s="5">
        <v>0</v>
      </c>
      <c r="F12" s="5">
        <v>0</v>
      </c>
      <c r="G12" s="5">
        <f t="shared" si="1"/>
        <v>5000</v>
      </c>
    </row>
    <row r="13" spans="1:7" x14ac:dyDescent="0.25">
      <c r="A13" s="2" t="s">
        <v>9</v>
      </c>
      <c r="B13" s="5">
        <f>15*1*45</f>
        <v>675</v>
      </c>
      <c r="C13" s="5">
        <v>0</v>
      </c>
      <c r="D13" s="5">
        <v>0</v>
      </c>
      <c r="E13" s="5">
        <v>0</v>
      </c>
      <c r="F13" s="5">
        <v>0</v>
      </c>
      <c r="G13" s="5">
        <f t="shared" si="1"/>
        <v>675</v>
      </c>
    </row>
    <row r="14" spans="1:7" x14ac:dyDescent="0.25">
      <c r="A14" s="2" t="s">
        <v>10</v>
      </c>
      <c r="B14" s="5">
        <f>250*1*15</f>
        <v>3750</v>
      </c>
      <c r="C14" s="5">
        <v>0</v>
      </c>
      <c r="D14" s="5">
        <v>0</v>
      </c>
      <c r="E14" s="5">
        <v>0</v>
      </c>
      <c r="F14" s="5">
        <v>0</v>
      </c>
      <c r="G14" s="5">
        <f t="shared" si="1"/>
        <v>3750</v>
      </c>
    </row>
    <row r="15" spans="1:7" x14ac:dyDescent="0.25">
      <c r="A15" s="2" t="s">
        <v>11</v>
      </c>
      <c r="B15" s="5">
        <f>3500*4</f>
        <v>14000</v>
      </c>
      <c r="C15" s="5">
        <v>0</v>
      </c>
      <c r="D15" s="5">
        <v>0</v>
      </c>
      <c r="E15" s="5">
        <v>0</v>
      </c>
      <c r="F15" s="5">
        <v>0</v>
      </c>
      <c r="G15" s="5">
        <f t="shared" si="1"/>
        <v>14000</v>
      </c>
    </row>
    <row r="16" spans="1:7" x14ac:dyDescent="0.25">
      <c r="A16" s="2" t="s">
        <v>12</v>
      </c>
      <c r="B16" s="5">
        <f>18700*1</f>
        <v>18700</v>
      </c>
      <c r="C16" s="5">
        <v>0</v>
      </c>
      <c r="D16" s="5">
        <v>0</v>
      </c>
      <c r="E16" s="5">
        <v>0</v>
      </c>
      <c r="F16" s="5">
        <v>0</v>
      </c>
      <c r="G16" s="5">
        <f t="shared" si="1"/>
        <v>18700</v>
      </c>
    </row>
    <row r="17" spans="1:7" x14ac:dyDescent="0.25">
      <c r="A17" s="2" t="s">
        <v>13</v>
      </c>
      <c r="B17" s="5">
        <f>1500*1</f>
        <v>1500</v>
      </c>
      <c r="C17" s="5">
        <v>0</v>
      </c>
      <c r="D17" s="5">
        <v>0</v>
      </c>
      <c r="E17" s="5">
        <v>0</v>
      </c>
      <c r="F17" s="5">
        <v>0</v>
      </c>
      <c r="G17" s="5">
        <f t="shared" si="1"/>
        <v>1500</v>
      </c>
    </row>
    <row r="18" spans="1:7" x14ac:dyDescent="0.25">
      <c r="A18" s="2" t="s">
        <v>14</v>
      </c>
      <c r="B18" s="5">
        <f>7500*1</f>
        <v>7500</v>
      </c>
      <c r="C18" s="5">
        <v>0</v>
      </c>
      <c r="D18" s="5">
        <v>0</v>
      </c>
      <c r="E18" s="5">
        <v>0</v>
      </c>
      <c r="F18" s="5">
        <v>0</v>
      </c>
      <c r="G18" s="5">
        <f t="shared" si="1"/>
        <v>7500</v>
      </c>
    </row>
    <row r="19" spans="1:7" x14ac:dyDescent="0.25">
      <c r="A19" s="2" t="s">
        <v>15</v>
      </c>
      <c r="B19" s="5">
        <f>950*7</f>
        <v>6650</v>
      </c>
      <c r="C19" s="5">
        <v>0</v>
      </c>
      <c r="D19" s="5">
        <v>0</v>
      </c>
      <c r="E19" s="5">
        <v>0</v>
      </c>
      <c r="F19" s="5">
        <v>0</v>
      </c>
      <c r="G19" s="5">
        <f t="shared" si="1"/>
        <v>6650</v>
      </c>
    </row>
    <row r="20" spans="1:7" x14ac:dyDescent="0.25">
      <c r="A20" s="1" t="s">
        <v>22</v>
      </c>
      <c r="B20" s="5">
        <f>SUM(B8:B19)</f>
        <v>143275</v>
      </c>
      <c r="C20" s="5">
        <f t="shared" ref="C20:F20" si="4">SUM(C8:C19)</f>
        <v>0</v>
      </c>
      <c r="D20" s="5">
        <f t="shared" si="4"/>
        <v>0</v>
      </c>
      <c r="E20" s="5">
        <f t="shared" si="4"/>
        <v>0</v>
      </c>
      <c r="F20" s="5">
        <f t="shared" si="4"/>
        <v>0</v>
      </c>
      <c r="G20" s="5">
        <f t="shared" si="1"/>
        <v>143275</v>
      </c>
    </row>
    <row r="21" spans="1:7" x14ac:dyDescent="0.25">
      <c r="A21" s="1" t="s">
        <v>16</v>
      </c>
      <c r="B21" s="5"/>
      <c r="C21" s="5"/>
      <c r="D21" s="5"/>
      <c r="E21" s="5"/>
      <c r="F21" s="5"/>
      <c r="G21" s="5">
        <f t="shared" si="1"/>
        <v>0</v>
      </c>
    </row>
    <row r="22" spans="1:7" x14ac:dyDescent="0.25">
      <c r="A22" s="2" t="s">
        <v>18</v>
      </c>
      <c r="C22" s="5">
        <f>125*2*35</f>
        <v>8750</v>
      </c>
      <c r="D22" s="5">
        <f t="shared" ref="D22:F22" si="5">125*2*35</f>
        <v>8750</v>
      </c>
      <c r="E22" s="5">
        <f t="shared" si="5"/>
        <v>8750</v>
      </c>
      <c r="F22" s="5">
        <f t="shared" si="5"/>
        <v>8750</v>
      </c>
      <c r="G22" s="5">
        <f t="shared" si="1"/>
        <v>35000</v>
      </c>
    </row>
    <row r="23" spans="1:7" x14ac:dyDescent="0.25">
      <c r="A23" s="2" t="s">
        <v>10</v>
      </c>
      <c r="C23" s="5">
        <f>20*1*15</f>
        <v>300</v>
      </c>
      <c r="D23" s="5">
        <f t="shared" ref="D23:F23" si="6">20*1*15</f>
        <v>300</v>
      </c>
      <c r="E23" s="5">
        <f t="shared" si="6"/>
        <v>300</v>
      </c>
      <c r="F23" s="5">
        <f t="shared" si="6"/>
        <v>300</v>
      </c>
      <c r="G23" s="5">
        <f t="shared" si="1"/>
        <v>1200</v>
      </c>
    </row>
    <row r="24" spans="1:7" x14ac:dyDescent="0.25">
      <c r="A24" s="2" t="s">
        <v>19</v>
      </c>
      <c r="C24" s="5">
        <f>995*1</f>
        <v>995</v>
      </c>
      <c r="D24" s="5">
        <f t="shared" ref="D24:F24" si="7">995*1</f>
        <v>995</v>
      </c>
      <c r="E24" s="5">
        <f t="shared" si="7"/>
        <v>995</v>
      </c>
      <c r="F24" s="5">
        <f t="shared" si="7"/>
        <v>995</v>
      </c>
      <c r="G24" s="5">
        <f t="shared" si="1"/>
        <v>3980</v>
      </c>
    </row>
    <row r="25" spans="1:7" x14ac:dyDescent="0.25">
      <c r="A25" s="2" t="s">
        <v>19</v>
      </c>
      <c r="C25" s="5">
        <f>525*1</f>
        <v>525</v>
      </c>
      <c r="D25" s="5">
        <f t="shared" ref="D25:F25" si="8">525*1</f>
        <v>525</v>
      </c>
      <c r="E25" s="5">
        <f t="shared" si="8"/>
        <v>525</v>
      </c>
      <c r="F25" s="5">
        <f t="shared" si="8"/>
        <v>525</v>
      </c>
      <c r="G25" s="5">
        <f t="shared" si="1"/>
        <v>2100</v>
      </c>
    </row>
    <row r="26" spans="1:7" x14ac:dyDescent="0.25">
      <c r="A26" s="2" t="s">
        <v>20</v>
      </c>
      <c r="C26" s="5">
        <v>0</v>
      </c>
      <c r="D26" s="5">
        <v>0</v>
      </c>
      <c r="E26" s="5">
        <v>0</v>
      </c>
      <c r="F26" s="5">
        <v>0</v>
      </c>
      <c r="G26" s="5">
        <f t="shared" si="1"/>
        <v>0</v>
      </c>
    </row>
    <row r="27" spans="1:7" x14ac:dyDescent="0.25">
      <c r="A27" s="2" t="s">
        <v>31</v>
      </c>
      <c r="C27" s="3">
        <f>15000*0.22</f>
        <v>3300</v>
      </c>
      <c r="D27" s="3">
        <f t="shared" ref="D27:F27" si="9">15000*0.22</f>
        <v>3300</v>
      </c>
      <c r="E27" s="3">
        <f t="shared" si="9"/>
        <v>3300</v>
      </c>
      <c r="F27" s="3">
        <f t="shared" si="9"/>
        <v>3300</v>
      </c>
      <c r="G27" s="5">
        <f t="shared" si="1"/>
        <v>13200</v>
      </c>
    </row>
    <row r="28" spans="1:7" x14ac:dyDescent="0.25">
      <c r="A28" s="1" t="s">
        <v>23</v>
      </c>
      <c r="B28" s="5"/>
      <c r="C28" s="5">
        <f>SUM(C22:C27)</f>
        <v>13870</v>
      </c>
      <c r="D28" s="5">
        <f t="shared" ref="D28:F28" si="10">SUM(D22:D27)</f>
        <v>13870</v>
      </c>
      <c r="E28" s="5">
        <f t="shared" si="10"/>
        <v>13870</v>
      </c>
      <c r="F28" s="5">
        <f t="shared" si="10"/>
        <v>13870</v>
      </c>
      <c r="G28" s="5">
        <f t="shared" si="1"/>
        <v>55480</v>
      </c>
    </row>
    <row r="29" spans="1:7" x14ac:dyDescent="0.25">
      <c r="A29" s="1" t="s">
        <v>24</v>
      </c>
      <c r="B29" s="5">
        <f>B20+B28</f>
        <v>143275</v>
      </c>
      <c r="C29" s="5">
        <f>C20+C28</f>
        <v>13870</v>
      </c>
      <c r="D29" s="5">
        <f>D20+D28</f>
        <v>13870</v>
      </c>
      <c r="E29" s="5">
        <f>E20+E28</f>
        <v>13870</v>
      </c>
      <c r="F29" s="5">
        <f>F20+F28</f>
        <v>13870</v>
      </c>
      <c r="G29" s="5">
        <f t="shared" si="1"/>
        <v>198755</v>
      </c>
    </row>
    <row r="30" spans="1:7" x14ac:dyDescent="0.25">
      <c r="A30" s="1" t="s">
        <v>30</v>
      </c>
      <c r="C30" s="6">
        <f>C29*(0.91^C1)</f>
        <v>12621.7</v>
      </c>
      <c r="D30" s="6">
        <f t="shared" ref="D30:F30" si="11">D29*(0.91^D1)</f>
        <v>11485.747000000001</v>
      </c>
      <c r="E30" s="6">
        <f t="shared" si="11"/>
        <v>10452.029770000001</v>
      </c>
      <c r="F30" s="6">
        <f t="shared" si="11"/>
        <v>9511.347090700001</v>
      </c>
      <c r="G30" s="5">
        <f t="shared" si="1"/>
        <v>44070.823860700002</v>
      </c>
    </row>
    <row r="31" spans="1:7" x14ac:dyDescent="0.25">
      <c r="A31" s="1" t="s">
        <v>25</v>
      </c>
      <c r="B31" s="5">
        <f>B5-B29</f>
        <v>-143275</v>
      </c>
      <c r="C31" s="5">
        <f>C5-C29</f>
        <v>31130</v>
      </c>
      <c r="D31" s="5">
        <f>D5-D29</f>
        <v>34130</v>
      </c>
      <c r="E31" s="5">
        <f>E5-E29</f>
        <v>37430</v>
      </c>
      <c r="F31" s="5">
        <f>F5-F29</f>
        <v>41060</v>
      </c>
      <c r="G31" s="5">
        <f t="shared" si="1"/>
        <v>475</v>
      </c>
    </row>
    <row r="32" spans="1:7" x14ac:dyDescent="0.25">
      <c r="A32" s="1" t="s">
        <v>27</v>
      </c>
      <c r="B32" s="5">
        <f>B31</f>
        <v>-143275</v>
      </c>
      <c r="C32" s="5">
        <f>B32+C31</f>
        <v>-112145</v>
      </c>
      <c r="D32" s="5">
        <f t="shared" ref="D32:F32" si="12">C32+D31</f>
        <v>-78015</v>
      </c>
      <c r="E32" s="5">
        <f t="shared" si="12"/>
        <v>-40585</v>
      </c>
      <c r="F32" s="5">
        <f t="shared" si="12"/>
        <v>475</v>
      </c>
      <c r="G32" s="5"/>
    </row>
    <row r="33" spans="1:7" x14ac:dyDescent="0.25">
      <c r="A33" s="1" t="s">
        <v>26</v>
      </c>
      <c r="B33" s="4">
        <f>G31/G29</f>
        <v>2.389876984226812E-3</v>
      </c>
      <c r="C33" s="4"/>
      <c r="D33" s="4"/>
      <c r="E33" s="4"/>
      <c r="F33" s="4"/>
      <c r="G33" s="4"/>
    </row>
    <row r="34" spans="1:7" x14ac:dyDescent="0.25">
      <c r="A34" s="1" t="s">
        <v>28</v>
      </c>
      <c r="B34" s="7" t="s">
        <v>33</v>
      </c>
      <c r="C34" s="7"/>
      <c r="D34" s="7"/>
      <c r="E34" s="7"/>
      <c r="F34" s="7"/>
      <c r="G34" s="7"/>
    </row>
  </sheetData>
  <mergeCells count="2">
    <mergeCell ref="B33:G33"/>
    <mergeCell ref="B34:G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Yeung</dc:creator>
  <cp:lastModifiedBy>Marvin Yeung</cp:lastModifiedBy>
  <dcterms:created xsi:type="dcterms:W3CDTF">2025-01-13T21:13:02Z</dcterms:created>
  <dcterms:modified xsi:type="dcterms:W3CDTF">2025-01-13T22:17:25Z</dcterms:modified>
</cp:coreProperties>
</file>